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KULIAH STIS\TINGKAT IV - SD\SKRIPSWEET\MANUVER SKRIPSI AFTER SENSUS\KOMPONEN_1\"/>
    </mc:Choice>
  </mc:AlternateContent>
  <xr:revisionPtr revIDLastSave="0" documentId="13_ncr:1_{3C592FF0-0453-4090-9DF2-9DCCFC3DAB5F}" xr6:coauthVersionLast="47" xr6:coauthVersionMax="47" xr10:uidLastSave="{00000000-0000-0000-0000-000000000000}"/>
  <bookViews>
    <workbookView xWindow="-120" yWindow="-120" windowWidth="20730" windowHeight="11760" tabRatio="500" xr2:uid="{00000000-000D-0000-FFFF-FFFF00000000}"/>
  </bookViews>
  <sheets>
    <sheet name="Petunjuk" sheetId="1" r:id="rId1"/>
    <sheet name="Penilaian Fitur" sheetId="2" r:id="rId2"/>
    <sheet name="Rekapitulasi" sheetId="3" r:id="rId3"/>
  </sheets>
  <calcPr calcId="191029" iterateDelta="1E-4"/>
</workbook>
</file>

<file path=xl/calcChain.xml><?xml version="1.0" encoding="utf-8"?>
<calcChain xmlns="http://schemas.openxmlformats.org/spreadsheetml/2006/main">
  <c r="F16" i="3" l="1"/>
  <c r="G16" i="3" s="1"/>
  <c r="E16" i="3"/>
  <c r="D16" i="3"/>
  <c r="C16" i="3"/>
  <c r="B16" i="3"/>
  <c r="F15" i="3"/>
  <c r="G15" i="3" s="1"/>
  <c r="E15" i="3"/>
  <c r="D15" i="3"/>
  <c r="C15" i="3"/>
  <c r="B15" i="3"/>
  <c r="F14" i="3"/>
  <c r="G14" i="3" s="1"/>
  <c r="E14" i="3"/>
  <c r="D14" i="3"/>
  <c r="C14" i="3"/>
  <c r="B14" i="3"/>
  <c r="F13" i="3"/>
  <c r="G13" i="3" s="1"/>
  <c r="E13" i="3"/>
  <c r="D13" i="3"/>
  <c r="C13" i="3"/>
  <c r="B13" i="3"/>
  <c r="F12" i="3"/>
  <c r="G12" i="3" s="1"/>
  <c r="E12" i="3"/>
  <c r="D12" i="3"/>
  <c r="C12" i="3"/>
  <c r="B12" i="3"/>
  <c r="F11" i="3"/>
  <c r="G11" i="3" s="1"/>
  <c r="E11" i="3"/>
  <c r="D11" i="3"/>
  <c r="C11" i="3"/>
  <c r="B11" i="3"/>
  <c r="F10" i="3"/>
  <c r="G10" i="3" s="1"/>
  <c r="E10" i="3"/>
  <c r="D10" i="3"/>
  <c r="C10" i="3"/>
  <c r="B10" i="3"/>
  <c r="G9" i="3"/>
  <c r="F9" i="3"/>
  <c r="E9" i="3"/>
  <c r="D9" i="3"/>
  <c r="C9" i="3"/>
  <c r="B9" i="3"/>
  <c r="F8" i="3"/>
  <c r="G8" i="3" s="1"/>
  <c r="E8" i="3"/>
  <c r="D8" i="3"/>
  <c r="C8" i="3"/>
  <c r="B8" i="3"/>
  <c r="F7" i="3"/>
  <c r="G7" i="3" s="1"/>
  <c r="E7" i="3"/>
  <c r="D7" i="3"/>
  <c r="C7" i="3"/>
  <c r="B7" i="3"/>
  <c r="F6" i="3"/>
  <c r="G6" i="3" s="1"/>
  <c r="E6" i="3"/>
  <c r="D6" i="3"/>
  <c r="C6" i="3"/>
  <c r="B6" i="3"/>
  <c r="G5" i="3"/>
  <c r="F5" i="3"/>
  <c r="E5" i="3"/>
  <c r="F19" i="3" s="1"/>
  <c r="D5" i="3"/>
  <c r="F20" i="3" s="1"/>
  <c r="C5" i="3"/>
  <c r="B5" i="3"/>
  <c r="F18" i="3" l="1"/>
</calcChain>
</file>

<file path=xl/sharedStrings.xml><?xml version="1.0" encoding="utf-8"?>
<sst xmlns="http://schemas.openxmlformats.org/spreadsheetml/2006/main" count="119" uniqueCount="96">
  <si>
    <t>FORMULIR PENILAIAN KEPENTINGAN KANDIDAT FITUR</t>
  </si>
  <si>
    <t>Ekstraksi Informasi Kerusakan Bangunan Pascabencana Menggunakan Small Vision-Language Model</t>
  </si>
  <si>
    <t>pada Citra Satelit Resolusi Sangat Tinggi — Studi Kasus: Gempa Bumi dan Tsunami Palu 2018</t>
  </si>
  <si>
    <t>Peneliti            : Rizky Alif Ichwanto (222212857, 4SD2)</t>
  </si>
  <si>
    <t>Program Studi       : D-IV Komputasi Statistik, Politeknik Statistika STIS</t>
  </si>
  <si>
    <t>Peran pengisi       : ANNOTATOR (ahli penginderaan jauh / geospasial)</t>
  </si>
  <si>
    <t>Nama pengisi        : ______________________________</t>
  </si>
  <si>
    <t>Tanggal pengisian   : ______________________________</t>
  </si>
  <si>
    <t>A.  Tujuan formulir</t>
  </si>
  <si>
    <t>Formulir ini digunakan untuk menyeleksi kandidat fitur visual kerusakan bangunan pascabencana yang akan dijadikan dasar penentuan kelas kerusakan. Fitur yang terpilih akan dituangkan ke dalam prompt Small Vision-Language Model (SVLM) dan ke dalam formulir penilaian evaluator. Penilaian ini menjawab tujuan penelitian ke-1.</t>
  </si>
  <si>
    <t>B.  Konteks data yang dinilai</t>
  </si>
  <si>
    <t>Citra: dataset xBD / xView2, bencana palu-tsunami, sensor WorldView-02, pasangan citra pra dan pasca bencana. Analisis dikunci pada satu pasangan akuisisi saja, yaitu citra pra 24 Januari 2017 dan citra pasca 1 Oktober 2018 (130 tile, 79,7 persen dari seluruh bangunan berlabel), sehingga geometri perekaman sama untuk semua bangunan yang dinilai.</t>
  </si>
  <si>
    <t>Unit analisis: satu bangunan, diwakili potongan (chip) citra pra dan pasca berukuran 128 x 128 piksel pada skala sekitar 0,5 meter per piksel, diperbesar ke 448 x 448 piksel. Bangunan sasaran ditandai kotak magenta berukuran tetap (64 piksel pada skala asli) beserta bidik silang pada titik pusatnya. Ukuran penanda sengaja dibuat tetap, tidak mengikuti ukuran bangunan.</t>
  </si>
  <si>
    <t>Ukuran bangunan pada kerangka sampel (n = 33.060): sisi terpanjang median 28,9 piksel (sekitar 14 meter); 76 persen bangunan berukuran di bawah 40 piksel; persentil ke-90 sekitar 52 piksel.</t>
  </si>
  <si>
    <t>C.  Cara mengisi</t>
  </si>
  <si>
    <t>1.  Buka sheet "Penilaian Fitur". Isilah HANYA sel berlatar kuning.</t>
  </si>
  <si>
    <t>2.  Kolom G (Skor Kepentingan): berikan angka 1 sampai 5 untuk setiap kandidat fitur.</t>
  </si>
  <si>
    <t xml:space="preserve">        1 = sangat tidak penting      2 = tidak penting      3 = cukup penting</t>
  </si>
  <si>
    <t xml:space="preserve">        4 = penting                   5 = sangat penting</t>
  </si>
  <si>
    <t>3.  Kolom H (Peringkat): urutkan seluruh 12 kandidat dari 1 (paling penting) sampai 12 (paling tidak penting), tanpa angka kembar. Peringkat ini dipakai sebagai pemecah nilai seri, karena hanya 6 fitur teratas yang akan digunakan.</t>
  </si>
  <si>
    <t>4.  Kolom I (Alasan singkat): satu sampai dua kalimat. Alasan ini akan dikutip sebagai justifikasi pemilihan fitur di dalam buku skripsi, sehingga sangat membantu bila diisi.</t>
  </si>
  <si>
    <t>5.  Sheet "Rekapitulasi" terisi otomatis. Tidak perlu diisi.</t>
  </si>
  <si>
    <t>D.  Catatan penting</t>
  </si>
  <si>
    <t>Hanya 6 fitur dengan peringkat tertinggi yang akan dipakai. Pembatasan ini bersifat teknis: makin banyak fitur yang harus dinilai model, makin panjang keluaran, makin lambat inferensi, makin tinggi kegagalan penguraian keluaran pada model berukuran 2-3 miliar parameter, dan makin berat beban evaluator.</t>
  </si>
  <si>
    <t>Formulir yang sama diisi secara terpisah oleh dua penilai, yaitu dosen pembimbing selaku ahli dan peneliti. Kesesuaian kedua penilaian dilaporkan sebagai ukuran keandalan antar-penilai; peringkat dari penilai ahli yang dipakai untuk menentukan enam fitur terpilih.</t>
  </si>
  <si>
    <t>E.  Contoh pengisian</t>
  </si>
  <si>
    <t>Kandidat Fitur</t>
  </si>
  <si>
    <t>Skor Kepentingan (1-5)</t>
  </si>
  <si>
    <t>Peringkat (1-12)</t>
  </si>
  <si>
    <t>Alasan singkat</t>
  </si>
  <si>
    <t>Keutuhan atap</t>
  </si>
  <si>
    <t>Kondisi atap adalah indikator paling terbaca pada citra nadir resolusi sub-meter dan paling langsung mencerminkan tingkat kerusakan struktural.</t>
  </si>
  <si>
    <t>PENILAIAN KEPENTINGAN KANDIDAT FITUR — diisi oleh ANNOTATOR</t>
  </si>
  <si>
    <t>Isi hanya kolom berlatar KUNING (G, H, I). Skor 1-5; Peringkat 1-12 tanpa angka kembar; hanya 6 fitur teratas yang dipakai. Catatan kolom F diperbarui 19 September 2026 berdasarkan inventarisasi penuh 196 tile (revisi 2).</t>
  </si>
  <si>
    <t>No</t>
  </si>
  <si>
    <t>Kelompok Kandidat</t>
  </si>
  <si>
    <t>Definisi Operasional (bagaimana fitur terlihat pada citra)</t>
  </si>
  <si>
    <t>Sumber Rujukan</t>
  </si>
  <si>
    <t>Catatan Teknis dari Metadata Citra (informasi, bukan arahan)</t>
  </si>
  <si>
    <t>Alasan Singkat Penilaian</t>
  </si>
  <si>
    <t>Tabel II (proposal)</t>
  </si>
  <si>
    <t>Kondisi atap bangunan pada citra pasca dibandingkan citra pra: utuh, rusak sebagian, atau hilang sama sekali.</t>
  </si>
  <si>
    <t>UNOSAT; BNPB</t>
  </si>
  <si>
    <t>Bangunan median 28,9 px (sekitar 14 m) pada skala 0,5 m/px. Setelah chip diperbesar ke 448 px, atap tampil sekitar 101 px sehingga detailnya masih terbaca.</t>
  </si>
  <si>
    <t>Puing di sekitar bangunan</t>
  </si>
  <si>
    <t>Material berserakan (rubble/debris) yang mengelilingi bangunan atau berada pada area terdekat di citra pasca.</t>
  </si>
  <si>
    <t>UNOSAT</t>
  </si>
  <si>
    <t>Fitur ini berada di LUAR footprint bangunan. Jendela chip 128 px menyediakan margin sekitar bangunan sehingga fitur ini dapat terlihat.</t>
  </si>
  <si>
    <t>Perubahan wujud bangunan</t>
  </si>
  <si>
    <t>Bentuk keseluruhan bangunan berubah antara citra pra dan pasca, misalnya sebagian struktur runtuh atau denah tampak tidak lagi utuh.</t>
  </si>
  <si>
    <t>Copernicus EMS</t>
  </si>
  <si>
    <t>Selisih akuisisi pra dan pasca 20,2 bulan (2017-01-24 ke 2018-10-01), sehingga perubahan non-bencana seperti pembangunan, perluasan, atau pembongkaran biasa ikut terekam.</t>
  </si>
  <si>
    <t>Bangunan hilang</t>
  </si>
  <si>
    <t>Bangunan yang ada pada citra pra tidak lagi tampak sebagai struktur bangunan pada citra pasca (hilang atau menjadi lahan kosong/puing).</t>
  </si>
  <si>
    <t>Idem: selisih akuisisi 20,2 bulan memuat pula pembongkaran non-bencana.</t>
  </si>
  <si>
    <t>Perubahan radiometri</t>
  </si>
  <si>
    <t>Perubahan kecerahan atau warna area atap yang konsisten dengan kerusakan atau permukaan yang berubah.</t>
  </si>
  <si>
    <t>PERHATIAN: azimut matahari berubah dari 125,7 menjadi 96,5 derajat (selisih 29,2 derajat) dan elevasi naik dari 56,4 menjadi 68,8 derajat. Arah bayangan bergeser dan bayangan pada citra pasca lebih pendek, sehingga bangunan yang tidak rusak pun dapat tampak berubah secara radiometrik.</t>
  </si>
  <si>
    <t>Perubahan tekstur</t>
  </si>
  <si>
    <t>Tekstur atap atau area bangunan menjadi lebih kasar atau tidak teratur dibandingkan kondisi normal pada citra pra.</t>
  </si>
  <si>
    <t>PERHATIAN: resolusi pankromatik citra pasca 0,704 m sedangkan citra pra 0,508 m, yaitu sekitar 39 persen lebih kasar. Citra pasca inheren lebih buram meski di-resample ke grid piksel yang sama, sehingga tekstur dapat berubah tanpa ada kerusakan.</t>
  </si>
  <si>
    <t>Genangan</t>
  </si>
  <si>
    <t>Terdapat air yang menutupi sebagian bangunan atau mengelilingi bangunan pada citra pasca.</t>
  </si>
  <si>
    <t>Citra pasca diakuisisi 2018-10-01, tiga hari setelah kejadian. Genangan tsunami pada umumnya sudah surut pada tanggal tersebut. Fitur ini semula diturunkan dari konteks banjir.</t>
  </si>
  <si>
    <t>Sedimen atau lumpur pada atap/halaman</t>
  </si>
  <si>
    <t>Area di sekitar atau di atas bangunan tertutup lapisan material bertekstur berbeda namun konsisten dengan endapan pascabencana.</t>
  </si>
  <si>
    <t>Semula diturunkan dari konteks banjir, namun tetap relevan untuk tsunami dan likuefaksi di Palu.</t>
  </si>
  <si>
    <t>Bentuk dinding</t>
  </si>
  <si>
    <t>Komponen struktural yang digunakan sebagai pembatas atau penyekat ruangan; kondisinya utuh, rusak sebagian, atau runtuh.</t>
  </si>
  <si>
    <t>BNPB</t>
  </si>
  <si>
    <t>Pada citra nadir resolusi 0,5 m/px, dinding umumnya hanya terlihat tidak langsung. Off-nadir citra pasca 36,4 derajat membuat sisi bangunan lebih terekspos dibanding citra pra yang 26,7 derajat.</t>
  </si>
  <si>
    <t>Tambahan: konteks gempa-tsunami</t>
  </si>
  <si>
    <t>Bangunan bergeser atau miring dari posisi semula</t>
  </si>
  <si>
    <t>Posisi atau orientasi bangunan pada citra pasca tidak lagi sama dengan citra pra: bergeser, terputar, atau miring. Ciri khas area terdampak likuefaksi (Petobo, Balaroa, Jono Oge).</t>
  </si>
  <si>
    <t>Usulan berdasarkan karakteristik bencana Palu 2018</t>
  </si>
  <si>
    <t>Perbedaan off-nadir (26,7 menjadi 36,4 derajat) juga menimbulkan pergeseran tampak sekitar 1 sampai 3 piksel pada rumah satu sampai dua lantai, sehingga perlu dibedakan dari pergeseran yang sebenarnya.</t>
  </si>
  <si>
    <t>Bangunan terbenam sedimen atau lumpur likuefaksi</t>
  </si>
  <si>
    <t>Bangunan tampak sebagian atau seluruhnya tertimbun material lumpur/pasir akibat likuefaksi, sehingga batas bangunan menjadi kabur atau hilang.</t>
  </si>
  <si>
    <t>Fenomena ini khas Palu dan tidak tercakup pada daftar kandidat semula yang diturunkan dari konteks banjir.</t>
  </si>
  <si>
    <t>Jejak sapuan tsunami di sekitar bangunan</t>
  </si>
  <si>
    <t>Terdapat jalur atau pola sapuan pada permukaan tanah di sekitar bangunan yang menunjukkan aliran air tsunami, termasuk vegetasi rebah searah dan material terseret.</t>
  </si>
  <si>
    <t>Relevan terutama untuk bangunan di zona pesisir Teluk Palu (Talise dan sekitarnya).</t>
  </si>
  <si>
    <t>Nama dan tanda tangan annotator:</t>
  </si>
  <si>
    <t>(..............................................)</t>
  </si>
  <si>
    <t>REKAPITULASI HASIL SELEKSI FITUR (terisi otomatis)</t>
  </si>
  <si>
    <t>Skor Akhir = Skor Kepentingan dikurangi Peringkat dibagi 100. Peringkat dipakai sebagai pemecah nilai seri. Enam fitur dengan Skor Akhir tertinggi dinyatakan TERPILIH.</t>
  </si>
  <si>
    <t>Kelompok</t>
  </si>
  <si>
    <t>Skor Kepentingan</t>
  </si>
  <si>
    <t>Peringkat</t>
  </si>
  <si>
    <t>Skor Akhir</t>
  </si>
  <si>
    <t>Status</t>
  </si>
  <si>
    <t>Jumlah fitur TERPILIH</t>
  </si>
  <si>
    <t>Cek peringkat tidak kembar (harus TRUE)</t>
  </si>
  <si>
    <t>Rata-rata skor seluruh kandidat</t>
  </si>
  <si>
    <t>(baris di atas hanya contoh format )</t>
  </si>
  <si>
    <t>Kolom F memuat catatan faktual hasil pemeriksaan metadata citra. Catatan tersebut disajikan sebagai informasi, bukan sebagai arahan penilaian.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</si>
</sst>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4"/>
      <color rgb="FF1F3864"/>
      <name val="Arial"/>
      <charset val="1"/>
    </font>
    <font>
      <i/>
      <sz val="10"/>
      <color rgb="FF404040"/>
      <name val="Arial"/>
      <charset val="1"/>
    </font>
    <font>
      <sz val="10"/>
      <name val="Arial"/>
      <charset val="1"/>
    </font>
    <font>
      <b/>
      <sz val="11"/>
      <color rgb="FF1F3864"/>
      <name val="Arial"/>
      <charset val="1"/>
    </font>
    <font>
      <b/>
      <sz val="9"/>
      <color rgb="FFFFFFFF"/>
      <name val="Arial"/>
      <charset val="1"/>
    </font>
    <font>
      <i/>
      <sz val="9"/>
      <color rgb="FF7F7F7F"/>
      <name val="Arial"/>
      <charset val="1"/>
    </font>
    <font>
      <b/>
      <sz val="12"/>
      <color rgb="FF1F3864"/>
      <name val="Arial"/>
      <charset val="1"/>
    </font>
    <font>
      <i/>
      <sz val="9"/>
      <color rgb="FFC00000"/>
      <name val="Arial"/>
      <charset val="1"/>
    </font>
    <font>
      <sz val="9"/>
      <name val="Arial"/>
      <charset val="1"/>
    </font>
    <font>
      <b/>
      <sz val="9"/>
      <color rgb="FF0000FF"/>
      <name val="Arial"/>
      <charset val="1"/>
    </font>
    <font>
      <sz val="9"/>
      <color rgb="FF0000FF"/>
      <name val="Arial"/>
      <charset val="1"/>
    </font>
    <font>
      <b/>
      <sz val="10"/>
      <name val="Arial"/>
      <charset val="1"/>
    </font>
    <font>
      <i/>
      <sz val="9"/>
      <color rgb="FF404040"/>
      <name val="Arial"/>
      <charset val="1"/>
    </font>
    <font>
      <b/>
      <sz val="9"/>
      <name val="Arial"/>
      <charset val="1"/>
    </font>
  </fonts>
  <fills count="7">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FFFF00"/>
        <bgColor rgb="FFFFFF00"/>
      </patternFill>
    </fill>
    <fill>
      <patternFill patternType="solid">
        <fgColor rgb="FFFFF2CC"/>
        <bgColor rgb="FFF2F2F2"/>
      </patternFill>
    </fill>
    <fill>
      <patternFill patternType="solid">
        <fgColor rgb="FFD9E2F3"/>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horizontal="center" vertical="center" wrapText="1"/>
    </xf>
    <xf numFmtId="0" fontId="6"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vertical="top" wrapText="1"/>
    </xf>
    <xf numFmtId="0" fontId="10" fillId="4" borderId="1" xfId="0" applyFont="1" applyFill="1" applyBorder="1" applyAlignment="1">
      <alignment horizontal="center" vertical="center" wrapText="1"/>
    </xf>
    <xf numFmtId="0" fontId="11" fillId="4" borderId="1" xfId="0" applyFont="1" applyFill="1" applyBorder="1" applyAlignment="1">
      <alignment vertical="top" wrapText="1"/>
    </xf>
    <xf numFmtId="0" fontId="9" fillId="5" borderId="1" xfId="0" applyFont="1" applyFill="1" applyBorder="1" applyAlignment="1">
      <alignment horizontal="center" vertical="center" wrapText="1"/>
    </xf>
    <xf numFmtId="0" fontId="9" fillId="5" borderId="1" xfId="0" applyFont="1" applyFill="1" applyBorder="1" applyAlignment="1">
      <alignment vertical="top" wrapText="1"/>
    </xf>
    <xf numFmtId="0" fontId="12" fillId="0" borderId="0" xfId="0" applyFont="1"/>
    <xf numFmtId="0" fontId="3" fillId="0" borderId="0" xfId="0" applyFont="1"/>
    <xf numFmtId="0" fontId="9" fillId="0" borderId="1" xfId="0" applyFont="1" applyBorder="1" applyAlignment="1">
      <alignment horizontal="center" vertical="center" wrapText="1"/>
    </xf>
    <xf numFmtId="0" fontId="9" fillId="0" borderId="1" xfId="0" applyFont="1" applyBorder="1" applyAlignment="1">
      <alignment vertical="top" wrapText="1"/>
    </xf>
    <xf numFmtId="2" fontId="9" fillId="0" borderId="1" xfId="0" applyNumberFormat="1" applyFont="1" applyBorder="1" applyAlignment="1">
      <alignment horizontal="center" vertical="center" wrapText="1"/>
    </xf>
    <xf numFmtId="0" fontId="14" fillId="0" borderId="0" xfId="0" applyFont="1"/>
    <xf numFmtId="0" fontId="14" fillId="6" borderId="1" xfId="0" applyFont="1" applyFill="1" applyBorder="1" applyAlignment="1">
      <alignment horizontal="center" vertical="center" wrapText="1"/>
    </xf>
    <xf numFmtId="2" fontId="14" fillId="6" borderId="1" xfId="0" applyNumberFormat="1" applyFont="1" applyFill="1" applyBorder="1" applyAlignment="1">
      <alignment horizontal="center" vertical="center" wrapText="1"/>
    </xf>
    <xf numFmtId="0" fontId="7" fillId="0" borderId="0" xfId="0" applyFont="1"/>
    <xf numFmtId="0" fontId="0" fillId="0" borderId="0" xfId="0"/>
    <xf numFmtId="0" fontId="8" fillId="0" borderId="0" xfId="0" applyFont="1"/>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showGridLines="0" tabSelected="1" topLeftCell="A19" zoomScale="96" zoomScaleNormal="96" workbookViewId="0">
      <selection activeCell="A7" sqref="A7"/>
    </sheetView>
  </sheetViews>
  <sheetFormatPr defaultColWidth="105.42578125" defaultRowHeight="15" x14ac:dyDescent="0.25"/>
  <sheetData>
    <row r="1" spans="1:1" ht="32.85" customHeight="1" x14ac:dyDescent="0.25">
      <c r="A1" s="1" t="s">
        <v>0</v>
      </c>
    </row>
    <row r="2" spans="1:1" ht="23.85" customHeight="1" x14ac:dyDescent="0.25">
      <c r="A2" s="2" t="s">
        <v>1</v>
      </c>
    </row>
    <row r="3" spans="1:1" ht="23.85" customHeight="1" x14ac:dyDescent="0.25">
      <c r="A3" s="2" t="s">
        <v>2</v>
      </c>
    </row>
    <row r="4" spans="1:1" ht="15" customHeight="1" x14ac:dyDescent="0.25">
      <c r="A4" s="3"/>
    </row>
    <row r="5" spans="1:1" ht="15" customHeight="1" x14ac:dyDescent="0.25">
      <c r="A5" s="3" t="s">
        <v>3</v>
      </c>
    </row>
    <row r="6" spans="1:1" ht="23.85" customHeight="1" x14ac:dyDescent="0.25">
      <c r="A6" s="3" t="s">
        <v>4</v>
      </c>
    </row>
    <row r="7" spans="1:1" ht="23.85" customHeight="1" x14ac:dyDescent="0.25">
      <c r="A7" s="3" t="s">
        <v>5</v>
      </c>
    </row>
    <row r="8" spans="1:1" ht="15" customHeight="1" x14ac:dyDescent="0.25">
      <c r="A8" s="3" t="s">
        <v>6</v>
      </c>
    </row>
    <row r="9" spans="1:1" ht="15" customHeight="1" x14ac:dyDescent="0.25">
      <c r="A9" s="3" t="s">
        <v>7</v>
      </c>
    </row>
    <row r="10" spans="1:1" ht="15" customHeight="1" x14ac:dyDescent="0.25">
      <c r="A10" s="3"/>
    </row>
    <row r="11" spans="1:1" ht="15" customHeight="1" x14ac:dyDescent="0.25">
      <c r="A11" s="4" t="s">
        <v>8</v>
      </c>
    </row>
    <row r="12" spans="1:1" ht="38.25" x14ac:dyDescent="0.25">
      <c r="A12" s="3" t="s">
        <v>9</v>
      </c>
    </row>
    <row r="13" spans="1:1" ht="15" customHeight="1" x14ac:dyDescent="0.25">
      <c r="A13" s="3"/>
    </row>
    <row r="14" spans="1:1" ht="15" customHeight="1" x14ac:dyDescent="0.25">
      <c r="A14" s="4" t="s">
        <v>10</v>
      </c>
    </row>
    <row r="15" spans="1:1" ht="23.85" customHeight="1" x14ac:dyDescent="0.25">
      <c r="A15" s="3" t="s">
        <v>11</v>
      </c>
    </row>
    <row r="16" spans="1:1" ht="51" x14ac:dyDescent="0.25">
      <c r="A16" s="3" t="s">
        <v>12</v>
      </c>
    </row>
    <row r="17" spans="1:1" ht="23.85" customHeight="1" x14ac:dyDescent="0.25">
      <c r="A17" s="3" t="s">
        <v>13</v>
      </c>
    </row>
    <row r="18" spans="1:1" ht="15" customHeight="1" x14ac:dyDescent="0.25">
      <c r="A18" s="3"/>
    </row>
    <row r="19" spans="1:1" ht="15" customHeight="1" x14ac:dyDescent="0.25">
      <c r="A19" s="4" t="s">
        <v>14</v>
      </c>
    </row>
    <row r="20" spans="1:1" x14ac:dyDescent="0.25">
      <c r="A20" s="3" t="s">
        <v>15</v>
      </c>
    </row>
    <row r="21" spans="1:1" ht="23.85" customHeight="1" x14ac:dyDescent="0.25">
      <c r="A21" s="3" t="s">
        <v>16</v>
      </c>
    </row>
    <row r="22" spans="1:1" ht="23.85" customHeight="1" x14ac:dyDescent="0.25">
      <c r="A22" s="3" t="s">
        <v>17</v>
      </c>
    </row>
    <row r="23" spans="1:1" ht="15" customHeight="1" x14ac:dyDescent="0.25">
      <c r="A23" s="3" t="s">
        <v>18</v>
      </c>
    </row>
    <row r="24" spans="1:1" ht="25.5" x14ac:dyDescent="0.25">
      <c r="A24" s="3" t="s">
        <v>19</v>
      </c>
    </row>
    <row r="25" spans="1:1" ht="25.5" x14ac:dyDescent="0.25">
      <c r="A25" s="3" t="s">
        <v>20</v>
      </c>
    </row>
    <row r="26" spans="1:1" ht="15" customHeight="1" x14ac:dyDescent="0.25">
      <c r="A26" s="3" t="s">
        <v>21</v>
      </c>
    </row>
    <row r="27" spans="1:1" ht="15" customHeight="1" x14ac:dyDescent="0.25">
      <c r="A27" s="3"/>
    </row>
    <row r="28" spans="1:1" ht="15" customHeight="1" x14ac:dyDescent="0.25">
      <c r="A28" s="4" t="s">
        <v>22</v>
      </c>
    </row>
    <row r="29" spans="1:1" ht="38.25" x14ac:dyDescent="0.25">
      <c r="A29" s="3" t="s">
        <v>23</v>
      </c>
    </row>
    <row r="30" spans="1:1" ht="35.1" customHeight="1" x14ac:dyDescent="0.25">
      <c r="A30" s="3" t="s">
        <v>95</v>
      </c>
    </row>
    <row r="31" spans="1:1" ht="38.25" x14ac:dyDescent="0.25">
      <c r="A31" s="3" t="s">
        <v>24</v>
      </c>
    </row>
    <row r="32" spans="1:1" ht="15" customHeight="1" x14ac:dyDescent="0.25">
      <c r="A32" s="4" t="s">
        <v>25</v>
      </c>
    </row>
    <row r="34" spans="1:4" ht="15" customHeight="1" x14ac:dyDescent="0.25">
      <c r="A34" s="5" t="s">
        <v>26</v>
      </c>
      <c r="B34" s="5" t="s">
        <v>27</v>
      </c>
      <c r="C34" s="5" t="s">
        <v>28</v>
      </c>
      <c r="D34" s="5" t="s">
        <v>29</v>
      </c>
    </row>
    <row r="35" spans="1:4" ht="22.35" customHeight="1" x14ac:dyDescent="0.25">
      <c r="A35" s="6" t="s">
        <v>30</v>
      </c>
      <c r="B35" s="7">
        <v>5</v>
      </c>
      <c r="C35" s="7">
        <v>1</v>
      </c>
      <c r="D35" s="6" t="s">
        <v>31</v>
      </c>
    </row>
    <row r="36" spans="1:4" ht="15" customHeight="1" x14ac:dyDescent="0.25">
      <c r="A36" s="8" t="s">
        <v>94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showGridLines="0" zoomScaleNormal="100" workbookViewId="0">
      <pane xSplit="3" ySplit="4" topLeftCell="D5" activePane="bottomRight" state="frozen"/>
      <selection pane="topRight" activeCell="D1" sqref="D1"/>
      <selection pane="bottomLeft" activeCell="A5" sqref="A5"/>
      <selection pane="bottomRight" activeCell="D23" sqref="D23"/>
    </sheetView>
  </sheetViews>
  <sheetFormatPr defaultColWidth="8.7109375" defaultRowHeight="15" x14ac:dyDescent="0.25"/>
  <cols>
    <col min="1" max="1" width="5" customWidth="1"/>
    <col min="2" max="2" width="20" customWidth="1"/>
    <col min="3" max="3" width="26" customWidth="1"/>
    <col min="4" max="4" width="46" customWidth="1"/>
    <col min="5" max="5" width="20" customWidth="1"/>
    <col min="6" max="6" width="52" customWidth="1"/>
    <col min="7" max="7" width="11" customWidth="1"/>
    <col min="8" max="8" width="10" customWidth="1"/>
    <col min="9" max="9" width="40" customWidth="1"/>
  </cols>
  <sheetData>
    <row r="1" spans="1:9" ht="15" customHeight="1" x14ac:dyDescent="0.25">
      <c r="A1" s="23" t="s">
        <v>32</v>
      </c>
      <c r="B1" s="24"/>
      <c r="C1" s="24"/>
      <c r="D1" s="24"/>
      <c r="E1" s="24"/>
      <c r="F1" s="24"/>
      <c r="G1" s="24"/>
      <c r="H1" s="24"/>
      <c r="I1" s="24"/>
    </row>
    <row r="2" spans="1:9" ht="15" customHeight="1" x14ac:dyDescent="0.25">
      <c r="A2" s="25" t="s">
        <v>33</v>
      </c>
      <c r="B2" s="24"/>
      <c r="C2" s="24"/>
      <c r="D2" s="24"/>
      <c r="E2" s="24"/>
      <c r="F2" s="24"/>
      <c r="G2" s="24"/>
      <c r="H2" s="24"/>
      <c r="I2" s="24"/>
    </row>
    <row r="4" spans="1:9" ht="45.75" customHeight="1" x14ac:dyDescent="0.25">
      <c r="A4" s="5" t="s">
        <v>34</v>
      </c>
      <c r="B4" s="5" t="s">
        <v>35</v>
      </c>
      <c r="C4" s="5" t="s">
        <v>26</v>
      </c>
      <c r="D4" s="5" t="s">
        <v>36</v>
      </c>
      <c r="E4" s="5" t="s">
        <v>37</v>
      </c>
      <c r="F4" s="5" t="s">
        <v>38</v>
      </c>
      <c r="G4" s="5" t="s">
        <v>27</v>
      </c>
      <c r="H4" s="5" t="s">
        <v>28</v>
      </c>
      <c r="I4" s="5" t="s">
        <v>39</v>
      </c>
    </row>
    <row r="5" spans="1:9" ht="57.75" customHeight="1" x14ac:dyDescent="0.25">
      <c r="A5" s="9">
        <v>1</v>
      </c>
      <c r="B5" s="10" t="s">
        <v>40</v>
      </c>
      <c r="C5" s="10" t="s">
        <v>30</v>
      </c>
      <c r="D5" s="10" t="s">
        <v>41</v>
      </c>
      <c r="E5" s="10" t="s">
        <v>42</v>
      </c>
      <c r="F5" s="10" t="s">
        <v>43</v>
      </c>
      <c r="G5" s="11"/>
      <c r="H5" s="11"/>
      <c r="I5" s="12"/>
    </row>
    <row r="6" spans="1:9" ht="57.75" customHeight="1" x14ac:dyDescent="0.25">
      <c r="A6" s="9">
        <v>2</v>
      </c>
      <c r="B6" s="10" t="s">
        <v>40</v>
      </c>
      <c r="C6" s="10" t="s">
        <v>44</v>
      </c>
      <c r="D6" s="10" t="s">
        <v>45</v>
      </c>
      <c r="E6" s="10" t="s">
        <v>46</v>
      </c>
      <c r="F6" s="10" t="s">
        <v>47</v>
      </c>
      <c r="G6" s="11"/>
      <c r="H6" s="11"/>
      <c r="I6" s="12"/>
    </row>
    <row r="7" spans="1:9" ht="57.75" customHeight="1" x14ac:dyDescent="0.25">
      <c r="A7" s="9">
        <v>3</v>
      </c>
      <c r="B7" s="10" t="s">
        <v>40</v>
      </c>
      <c r="C7" s="10" t="s">
        <v>48</v>
      </c>
      <c r="D7" s="10" t="s">
        <v>49</v>
      </c>
      <c r="E7" s="10" t="s">
        <v>50</v>
      </c>
      <c r="F7" s="10" t="s">
        <v>51</v>
      </c>
      <c r="G7" s="11"/>
      <c r="H7" s="11"/>
      <c r="I7" s="12"/>
    </row>
    <row r="8" spans="1:9" ht="57.75" customHeight="1" x14ac:dyDescent="0.25">
      <c r="A8" s="9">
        <v>4</v>
      </c>
      <c r="B8" s="10" t="s">
        <v>40</v>
      </c>
      <c r="C8" s="10" t="s">
        <v>52</v>
      </c>
      <c r="D8" s="10" t="s">
        <v>53</v>
      </c>
      <c r="E8" s="10" t="s">
        <v>50</v>
      </c>
      <c r="F8" s="10" t="s">
        <v>54</v>
      </c>
      <c r="G8" s="11"/>
      <c r="H8" s="11"/>
      <c r="I8" s="12"/>
    </row>
    <row r="9" spans="1:9" ht="57.75" customHeight="1" x14ac:dyDescent="0.25">
      <c r="A9" s="9">
        <v>5</v>
      </c>
      <c r="B9" s="10" t="s">
        <v>40</v>
      </c>
      <c r="C9" s="10" t="s">
        <v>55</v>
      </c>
      <c r="D9" s="10" t="s">
        <v>56</v>
      </c>
      <c r="E9" s="10" t="s">
        <v>50</v>
      </c>
      <c r="F9" s="10" t="s">
        <v>57</v>
      </c>
      <c r="G9" s="11"/>
      <c r="H9" s="11"/>
      <c r="I9" s="12"/>
    </row>
    <row r="10" spans="1:9" ht="57.75" customHeight="1" x14ac:dyDescent="0.25">
      <c r="A10" s="9">
        <v>6</v>
      </c>
      <c r="B10" s="10" t="s">
        <v>40</v>
      </c>
      <c r="C10" s="10" t="s">
        <v>58</v>
      </c>
      <c r="D10" s="10" t="s">
        <v>59</v>
      </c>
      <c r="E10" s="10" t="s">
        <v>50</v>
      </c>
      <c r="F10" s="10" t="s">
        <v>60</v>
      </c>
      <c r="G10" s="11"/>
      <c r="H10" s="11"/>
      <c r="I10" s="12"/>
    </row>
    <row r="11" spans="1:9" ht="57.75" customHeight="1" x14ac:dyDescent="0.25">
      <c r="A11" s="9">
        <v>7</v>
      </c>
      <c r="B11" s="10" t="s">
        <v>40</v>
      </c>
      <c r="C11" s="10" t="s">
        <v>61</v>
      </c>
      <c r="D11" s="10" t="s">
        <v>62</v>
      </c>
      <c r="E11" s="10" t="s">
        <v>50</v>
      </c>
      <c r="F11" s="10" t="s">
        <v>63</v>
      </c>
      <c r="G11" s="11"/>
      <c r="H11" s="11"/>
      <c r="I11" s="12"/>
    </row>
    <row r="12" spans="1:9" ht="57.75" customHeight="1" x14ac:dyDescent="0.25">
      <c r="A12" s="9">
        <v>8</v>
      </c>
      <c r="B12" s="10" t="s">
        <v>40</v>
      </c>
      <c r="C12" s="10" t="s">
        <v>64</v>
      </c>
      <c r="D12" s="10" t="s">
        <v>65</v>
      </c>
      <c r="E12" s="10" t="s">
        <v>50</v>
      </c>
      <c r="F12" s="10" t="s">
        <v>66</v>
      </c>
      <c r="G12" s="11"/>
      <c r="H12" s="11"/>
      <c r="I12" s="12"/>
    </row>
    <row r="13" spans="1:9" ht="57.75" customHeight="1" x14ac:dyDescent="0.25">
      <c r="A13" s="9">
        <v>9</v>
      </c>
      <c r="B13" s="10" t="s">
        <v>40</v>
      </c>
      <c r="C13" s="10" t="s">
        <v>67</v>
      </c>
      <c r="D13" s="10" t="s">
        <v>68</v>
      </c>
      <c r="E13" s="10" t="s">
        <v>69</v>
      </c>
      <c r="F13" s="10" t="s">
        <v>70</v>
      </c>
      <c r="G13" s="11"/>
      <c r="H13" s="11"/>
      <c r="I13" s="12"/>
    </row>
    <row r="14" spans="1:9" ht="57.75" customHeight="1" x14ac:dyDescent="0.25">
      <c r="A14" s="13">
        <v>10</v>
      </c>
      <c r="B14" s="14" t="s">
        <v>71</v>
      </c>
      <c r="C14" s="14" t="s">
        <v>72</v>
      </c>
      <c r="D14" s="14" t="s">
        <v>73</v>
      </c>
      <c r="E14" s="14" t="s">
        <v>74</v>
      </c>
      <c r="F14" s="14" t="s">
        <v>75</v>
      </c>
      <c r="G14" s="11"/>
      <c r="H14" s="11"/>
      <c r="I14" s="12"/>
    </row>
    <row r="15" spans="1:9" ht="57.75" customHeight="1" x14ac:dyDescent="0.25">
      <c r="A15" s="13">
        <v>11</v>
      </c>
      <c r="B15" s="14" t="s">
        <v>71</v>
      </c>
      <c r="C15" s="14" t="s">
        <v>76</v>
      </c>
      <c r="D15" s="14" t="s">
        <v>77</v>
      </c>
      <c r="E15" s="14" t="s">
        <v>74</v>
      </c>
      <c r="F15" s="14" t="s">
        <v>78</v>
      </c>
      <c r="G15" s="11"/>
      <c r="H15" s="11"/>
      <c r="I15" s="12"/>
    </row>
    <row r="16" spans="1:9" ht="57.75" customHeight="1" x14ac:dyDescent="0.25">
      <c r="A16" s="13">
        <v>12</v>
      </c>
      <c r="B16" s="14" t="s">
        <v>71</v>
      </c>
      <c r="C16" s="14" t="s">
        <v>79</v>
      </c>
      <c r="D16" s="14" t="s">
        <v>80</v>
      </c>
      <c r="E16" s="14" t="s">
        <v>74</v>
      </c>
      <c r="F16" s="14" t="s">
        <v>81</v>
      </c>
      <c r="G16" s="11"/>
      <c r="H16" s="11"/>
      <c r="I16" s="12"/>
    </row>
    <row r="18" spans="3:3" ht="15" customHeight="1" x14ac:dyDescent="0.25">
      <c r="C18" s="15" t="s">
        <v>82</v>
      </c>
    </row>
    <row r="21" spans="3:3" ht="15" customHeight="1" x14ac:dyDescent="0.25">
      <c r="C21" s="16" t="s">
        <v>83</v>
      </c>
    </row>
  </sheetData>
  <mergeCells count="2">
    <mergeCell ref="A1:I1"/>
    <mergeCell ref="A2:I2"/>
  </mergeCells>
  <dataValidations count="2">
    <dataValidation type="whole" allowBlank="1" showErrorMessage="1" errorTitle="Skor tidak sah" error="Isikan bilangan bulat 1 sampai 5." sqref="G5:G16" xr:uid="{00000000-0002-0000-0100-000000000000}">
      <formula1>1</formula1>
      <formula2>5</formula2>
    </dataValidation>
    <dataValidation type="whole" allowBlank="1" showErrorMessage="1" errorTitle="Peringkat tidak sah" error="Isikan bilangan bulat 1 sampai 12, tanpa angka kembar." sqref="H5:H16" xr:uid="{00000000-0002-0000-0100-000001000000}">
      <formula1>1</formula1>
      <formula2>12</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showGridLines="0" zoomScaleNormal="100" workbookViewId="0">
      <selection sqref="A1:G1"/>
    </sheetView>
  </sheetViews>
  <sheetFormatPr defaultColWidth="8.7109375" defaultRowHeight="15" x14ac:dyDescent="0.25"/>
  <cols>
    <col min="1" max="1" width="5" customWidth="1"/>
    <col min="2" max="2" width="34" customWidth="1"/>
    <col min="3" max="3" width="24" customWidth="1"/>
    <col min="4" max="4" width="16" customWidth="1"/>
    <col min="5" max="6" width="12" customWidth="1"/>
    <col min="7" max="7" width="16" customWidth="1"/>
  </cols>
  <sheetData>
    <row r="1" spans="1:7" ht="15" customHeight="1" x14ac:dyDescent="0.25">
      <c r="A1" s="23" t="s">
        <v>84</v>
      </c>
      <c r="B1" s="24"/>
      <c r="C1" s="24"/>
      <c r="D1" s="24"/>
      <c r="E1" s="24"/>
      <c r="F1" s="24"/>
      <c r="G1" s="24"/>
    </row>
    <row r="2" spans="1:7" ht="15" customHeight="1" x14ac:dyDescent="0.25">
      <c r="A2" s="26" t="s">
        <v>85</v>
      </c>
      <c r="B2" s="24"/>
      <c r="C2" s="24"/>
      <c r="D2" s="24"/>
      <c r="E2" s="24"/>
      <c r="F2" s="24"/>
      <c r="G2" s="24"/>
    </row>
    <row r="4" spans="1:7" ht="15" customHeight="1" x14ac:dyDescent="0.25">
      <c r="A4" s="5" t="s">
        <v>34</v>
      </c>
      <c r="B4" s="5" t="s">
        <v>26</v>
      </c>
      <c r="C4" s="5" t="s">
        <v>86</v>
      </c>
      <c r="D4" s="5" t="s">
        <v>87</v>
      </c>
      <c r="E4" s="5" t="s">
        <v>88</v>
      </c>
      <c r="F4" s="5" t="s">
        <v>89</v>
      </c>
      <c r="G4" s="5" t="s">
        <v>90</v>
      </c>
    </row>
    <row r="5" spans="1:7" ht="15" customHeight="1" x14ac:dyDescent="0.25">
      <c r="A5" s="17">
        <v>1</v>
      </c>
      <c r="B5" s="18" t="str">
        <f>'Penilaian Fitur'!C5</f>
        <v>Keutuhan atap</v>
      </c>
      <c r="C5" s="18" t="str">
        <f>'Penilaian Fitur'!B5</f>
        <v>Tabel II (proposal)</v>
      </c>
      <c r="D5" s="17" t="str">
        <f>IF('Penilaian Fitur'!G5="","",'Penilaian Fitur'!G5)</f>
        <v/>
      </c>
      <c r="E5" s="17" t="str">
        <f>IF('Penilaian Fitur'!H5="","",'Penilaian Fitur'!H5)</f>
        <v/>
      </c>
      <c r="F5" s="19" t="str">
        <f>IF(OR('Penilaian Fitur'!G5="",'Penilaian Fitur'!H5=""),"",'Penilaian Fitur'!G5-'Penilaian Fitur'!H5/100)</f>
        <v/>
      </c>
      <c r="G5" s="17" t="str">
        <f t="shared" ref="G5:G16" si="0">IF(F5="","",IF(RANK(F5,$F$5:$F$16,0)&lt;=6,"TERPILIH","tidak dipakai"))</f>
        <v/>
      </c>
    </row>
    <row r="6" spans="1:7" ht="15" customHeight="1" x14ac:dyDescent="0.25">
      <c r="A6" s="17">
        <v>2</v>
      </c>
      <c r="B6" s="18" t="str">
        <f>'Penilaian Fitur'!C6</f>
        <v>Puing di sekitar bangunan</v>
      </c>
      <c r="C6" s="18" t="str">
        <f>'Penilaian Fitur'!B6</f>
        <v>Tabel II (proposal)</v>
      </c>
      <c r="D6" s="17" t="str">
        <f>IF('Penilaian Fitur'!G6="","",'Penilaian Fitur'!G6)</f>
        <v/>
      </c>
      <c r="E6" s="17" t="str">
        <f>IF('Penilaian Fitur'!H6="","",'Penilaian Fitur'!H6)</f>
        <v/>
      </c>
      <c r="F6" s="19" t="str">
        <f>IF(OR('Penilaian Fitur'!G6="",'Penilaian Fitur'!H6=""),"",'Penilaian Fitur'!G6-'Penilaian Fitur'!H6/100)</f>
        <v/>
      </c>
      <c r="G6" s="17" t="str">
        <f t="shared" si="0"/>
        <v/>
      </c>
    </row>
    <row r="7" spans="1:7" ht="15" customHeight="1" x14ac:dyDescent="0.25">
      <c r="A7" s="17">
        <v>3</v>
      </c>
      <c r="B7" s="18" t="str">
        <f>'Penilaian Fitur'!C7</f>
        <v>Perubahan wujud bangunan</v>
      </c>
      <c r="C7" s="18" t="str">
        <f>'Penilaian Fitur'!B7</f>
        <v>Tabel II (proposal)</v>
      </c>
      <c r="D7" s="17" t="str">
        <f>IF('Penilaian Fitur'!G7="","",'Penilaian Fitur'!G7)</f>
        <v/>
      </c>
      <c r="E7" s="17" t="str">
        <f>IF('Penilaian Fitur'!H7="","",'Penilaian Fitur'!H7)</f>
        <v/>
      </c>
      <c r="F7" s="19" t="str">
        <f>IF(OR('Penilaian Fitur'!G7="",'Penilaian Fitur'!H7=""),"",'Penilaian Fitur'!G7-'Penilaian Fitur'!H7/100)</f>
        <v/>
      </c>
      <c r="G7" s="17" t="str">
        <f t="shared" si="0"/>
        <v/>
      </c>
    </row>
    <row r="8" spans="1:7" ht="15" customHeight="1" x14ac:dyDescent="0.25">
      <c r="A8" s="17">
        <v>4</v>
      </c>
      <c r="B8" s="18" t="str">
        <f>'Penilaian Fitur'!C8</f>
        <v>Bangunan hilang</v>
      </c>
      <c r="C8" s="18" t="str">
        <f>'Penilaian Fitur'!B8</f>
        <v>Tabel II (proposal)</v>
      </c>
      <c r="D8" s="17" t="str">
        <f>IF('Penilaian Fitur'!G8="","",'Penilaian Fitur'!G8)</f>
        <v/>
      </c>
      <c r="E8" s="17" t="str">
        <f>IF('Penilaian Fitur'!H8="","",'Penilaian Fitur'!H8)</f>
        <v/>
      </c>
      <c r="F8" s="19" t="str">
        <f>IF(OR('Penilaian Fitur'!G8="",'Penilaian Fitur'!H8=""),"",'Penilaian Fitur'!G8-'Penilaian Fitur'!H8/100)</f>
        <v/>
      </c>
      <c r="G8" s="17" t="str">
        <f t="shared" si="0"/>
        <v/>
      </c>
    </row>
    <row r="9" spans="1:7" ht="15" customHeight="1" x14ac:dyDescent="0.25">
      <c r="A9" s="17">
        <v>5</v>
      </c>
      <c r="B9" s="18" t="str">
        <f>'Penilaian Fitur'!C9</f>
        <v>Perubahan radiometri</v>
      </c>
      <c r="C9" s="18" t="str">
        <f>'Penilaian Fitur'!B9</f>
        <v>Tabel II (proposal)</v>
      </c>
      <c r="D9" s="17" t="str">
        <f>IF('Penilaian Fitur'!G9="","",'Penilaian Fitur'!G9)</f>
        <v/>
      </c>
      <c r="E9" s="17" t="str">
        <f>IF('Penilaian Fitur'!H9="","",'Penilaian Fitur'!H9)</f>
        <v/>
      </c>
      <c r="F9" s="19" t="str">
        <f>IF(OR('Penilaian Fitur'!G9="",'Penilaian Fitur'!H9=""),"",'Penilaian Fitur'!G9-'Penilaian Fitur'!H9/100)</f>
        <v/>
      </c>
      <c r="G9" s="17" t="str">
        <f t="shared" si="0"/>
        <v/>
      </c>
    </row>
    <row r="10" spans="1:7" ht="15" customHeight="1" x14ac:dyDescent="0.25">
      <c r="A10" s="17">
        <v>6</v>
      </c>
      <c r="B10" s="18" t="str">
        <f>'Penilaian Fitur'!C10</f>
        <v>Perubahan tekstur</v>
      </c>
      <c r="C10" s="18" t="str">
        <f>'Penilaian Fitur'!B10</f>
        <v>Tabel II (proposal)</v>
      </c>
      <c r="D10" s="17" t="str">
        <f>IF('Penilaian Fitur'!G10="","",'Penilaian Fitur'!G10)</f>
        <v/>
      </c>
      <c r="E10" s="17" t="str">
        <f>IF('Penilaian Fitur'!H10="","",'Penilaian Fitur'!H10)</f>
        <v/>
      </c>
      <c r="F10" s="19" t="str">
        <f>IF(OR('Penilaian Fitur'!G10="",'Penilaian Fitur'!H10=""),"",'Penilaian Fitur'!G10-'Penilaian Fitur'!H10/100)</f>
        <v/>
      </c>
      <c r="G10" s="17" t="str">
        <f t="shared" si="0"/>
        <v/>
      </c>
    </row>
    <row r="11" spans="1:7" ht="15" customHeight="1" x14ac:dyDescent="0.25">
      <c r="A11" s="17">
        <v>7</v>
      </c>
      <c r="B11" s="18" t="str">
        <f>'Penilaian Fitur'!C11</f>
        <v>Genangan</v>
      </c>
      <c r="C11" s="18" t="str">
        <f>'Penilaian Fitur'!B11</f>
        <v>Tabel II (proposal)</v>
      </c>
      <c r="D11" s="17" t="str">
        <f>IF('Penilaian Fitur'!G11="","",'Penilaian Fitur'!G11)</f>
        <v/>
      </c>
      <c r="E11" s="17" t="str">
        <f>IF('Penilaian Fitur'!H11="","",'Penilaian Fitur'!H11)</f>
        <v/>
      </c>
      <c r="F11" s="19" t="str">
        <f>IF(OR('Penilaian Fitur'!G11="",'Penilaian Fitur'!H11=""),"",'Penilaian Fitur'!G11-'Penilaian Fitur'!H11/100)</f>
        <v/>
      </c>
      <c r="G11" s="17" t="str">
        <f t="shared" si="0"/>
        <v/>
      </c>
    </row>
    <row r="12" spans="1:7" ht="15" customHeight="1" x14ac:dyDescent="0.25">
      <c r="A12" s="17">
        <v>8</v>
      </c>
      <c r="B12" s="18" t="str">
        <f>'Penilaian Fitur'!C12</f>
        <v>Sedimen atau lumpur pada atap/halaman</v>
      </c>
      <c r="C12" s="18" t="str">
        <f>'Penilaian Fitur'!B12</f>
        <v>Tabel II (proposal)</v>
      </c>
      <c r="D12" s="17" t="str">
        <f>IF('Penilaian Fitur'!G12="","",'Penilaian Fitur'!G12)</f>
        <v/>
      </c>
      <c r="E12" s="17" t="str">
        <f>IF('Penilaian Fitur'!H12="","",'Penilaian Fitur'!H12)</f>
        <v/>
      </c>
      <c r="F12" s="19" t="str">
        <f>IF(OR('Penilaian Fitur'!G12="",'Penilaian Fitur'!H12=""),"",'Penilaian Fitur'!G12-'Penilaian Fitur'!H12/100)</f>
        <v/>
      </c>
      <c r="G12" s="17" t="str">
        <f t="shared" si="0"/>
        <v/>
      </c>
    </row>
    <row r="13" spans="1:7" ht="15" customHeight="1" x14ac:dyDescent="0.25">
      <c r="A13" s="17">
        <v>9</v>
      </c>
      <c r="B13" s="18" t="str">
        <f>'Penilaian Fitur'!C13</f>
        <v>Bentuk dinding</v>
      </c>
      <c r="C13" s="18" t="str">
        <f>'Penilaian Fitur'!B13</f>
        <v>Tabel II (proposal)</v>
      </c>
      <c r="D13" s="17" t="str">
        <f>IF('Penilaian Fitur'!G13="","",'Penilaian Fitur'!G13)</f>
        <v/>
      </c>
      <c r="E13" s="17" t="str">
        <f>IF('Penilaian Fitur'!H13="","",'Penilaian Fitur'!H13)</f>
        <v/>
      </c>
      <c r="F13" s="19" t="str">
        <f>IF(OR('Penilaian Fitur'!G13="",'Penilaian Fitur'!H13=""),"",'Penilaian Fitur'!G13-'Penilaian Fitur'!H13/100)</f>
        <v/>
      </c>
      <c r="G13" s="17" t="str">
        <f t="shared" si="0"/>
        <v/>
      </c>
    </row>
    <row r="14" spans="1:7" ht="22.35" customHeight="1" x14ac:dyDescent="0.25">
      <c r="A14" s="17">
        <v>10</v>
      </c>
      <c r="B14" s="18" t="str">
        <f>'Penilaian Fitur'!C14</f>
        <v>Bangunan bergeser atau miring dari posisi semula</v>
      </c>
      <c r="C14" s="18" t="str">
        <f>'Penilaian Fitur'!B14</f>
        <v>Tambahan: konteks gempa-tsunami</v>
      </c>
      <c r="D14" s="17" t="str">
        <f>IF('Penilaian Fitur'!G14="","",'Penilaian Fitur'!G14)</f>
        <v/>
      </c>
      <c r="E14" s="17" t="str">
        <f>IF('Penilaian Fitur'!H14="","",'Penilaian Fitur'!H14)</f>
        <v/>
      </c>
      <c r="F14" s="19" t="str">
        <f>IF(OR('Penilaian Fitur'!G14="",'Penilaian Fitur'!H14=""),"",'Penilaian Fitur'!G14-'Penilaian Fitur'!H14/100)</f>
        <v/>
      </c>
      <c r="G14" s="17" t="str">
        <f t="shared" si="0"/>
        <v/>
      </c>
    </row>
    <row r="15" spans="1:7" ht="22.35" customHeight="1" x14ac:dyDescent="0.25">
      <c r="A15" s="17">
        <v>11</v>
      </c>
      <c r="B15" s="18" t="str">
        <f>'Penilaian Fitur'!C15</f>
        <v>Bangunan terbenam sedimen atau lumpur likuefaksi</v>
      </c>
      <c r="C15" s="18" t="str">
        <f>'Penilaian Fitur'!B15</f>
        <v>Tambahan: konteks gempa-tsunami</v>
      </c>
      <c r="D15" s="17" t="str">
        <f>IF('Penilaian Fitur'!G15="","",'Penilaian Fitur'!G15)</f>
        <v/>
      </c>
      <c r="E15" s="17" t="str">
        <f>IF('Penilaian Fitur'!H15="","",'Penilaian Fitur'!H15)</f>
        <v/>
      </c>
      <c r="F15" s="19" t="str">
        <f>IF(OR('Penilaian Fitur'!G15="",'Penilaian Fitur'!H15=""),"",'Penilaian Fitur'!G15-'Penilaian Fitur'!H15/100)</f>
        <v/>
      </c>
      <c r="G15" s="17" t="str">
        <f t="shared" si="0"/>
        <v/>
      </c>
    </row>
    <row r="16" spans="1:7" ht="22.35" customHeight="1" x14ac:dyDescent="0.25">
      <c r="A16" s="17">
        <v>12</v>
      </c>
      <c r="B16" s="18" t="str">
        <f>'Penilaian Fitur'!C16</f>
        <v>Jejak sapuan tsunami di sekitar bangunan</v>
      </c>
      <c r="C16" s="18" t="str">
        <f>'Penilaian Fitur'!B16</f>
        <v>Tambahan: konteks gempa-tsunami</v>
      </c>
      <c r="D16" s="17" t="str">
        <f>IF('Penilaian Fitur'!G16="","",'Penilaian Fitur'!G16)</f>
        <v/>
      </c>
      <c r="E16" s="17" t="str">
        <f>IF('Penilaian Fitur'!H16="","",'Penilaian Fitur'!H16)</f>
        <v/>
      </c>
      <c r="F16" s="19" t="str">
        <f>IF(OR('Penilaian Fitur'!G16="",'Penilaian Fitur'!H16=""),"",'Penilaian Fitur'!G16-'Penilaian Fitur'!H16/100)</f>
        <v/>
      </c>
      <c r="G16" s="17" t="str">
        <f t="shared" si="0"/>
        <v/>
      </c>
    </row>
    <row r="18" spans="2:6" ht="15" customHeight="1" x14ac:dyDescent="0.25">
      <c r="B18" s="20" t="s">
        <v>91</v>
      </c>
      <c r="F18" s="21">
        <f>COUNTIF($G$5:$G$16,"TERPILIH")</f>
        <v>0</v>
      </c>
    </row>
    <row r="19" spans="2:6" ht="15" customHeight="1" x14ac:dyDescent="0.25">
      <c r="B19" s="20" t="s">
        <v>92</v>
      </c>
      <c r="F19" s="21" t="str">
        <f>IF(COUNT($E$5:$E$16)=0,"belum diisi",SUMPRODUCT(($E$5:$E$16&lt;&gt;"")*1)=SUMPRODUCT((COUNTIF($E$5:$E$16,$E$5:$E$16)=1)*($E$5:$E$16&lt;&gt;"")))</f>
        <v>belum diisi</v>
      </c>
    </row>
    <row r="20" spans="2:6" ht="15" customHeight="1" x14ac:dyDescent="0.25">
      <c r="B20" s="20" t="s">
        <v>93</v>
      </c>
      <c r="F20" s="22" t="str">
        <f>IF(COUNT($D$5:$D$16)=0,"belum diisi",AVERAGE($D$5:$D$16))</f>
        <v>belum diisi</v>
      </c>
    </row>
  </sheetData>
  <mergeCells count="2">
    <mergeCell ref="A2:G2"/>
    <mergeCell ref="A1:G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Petunjuk</vt:lpstr>
      <vt:lpstr>Penilaian Fitur</vt:lpstr>
      <vt:lpstr>Rekapitulasi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Rizky Alif Ichwanto</cp:lastModifiedBy>
  <cp:revision>0</cp:revision>
  <dcterms:created xsi:type="dcterms:W3CDTF">2026-09-18T06:32:42Z</dcterms:created>
  <dcterms:modified xsi:type="dcterms:W3CDTF">2026-09-22T13:53:27Z</dcterms:modified>
  <dc:language>en-US</dc:language>
</cp:coreProperties>
</file>